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filterPrivacy="1"/>
  <xr:revisionPtr revIDLastSave="0" documentId="13_ncr:1_{8A644466-036C-5049-9E3E-7B035DA424D1}" xr6:coauthVersionLast="47" xr6:coauthVersionMax="47" xr10:uidLastSave="{00000000-0000-0000-0000-000000000000}"/>
  <bookViews>
    <workbookView xWindow="10100" yWindow="760" windowWidth="20140" windowHeight="17400" xr2:uid="{00000000-000D-0000-FFFF-FFFF00000000}"/>
  </bookViews>
  <sheets>
    <sheet name="1" sheetId="3" r:id="rId1"/>
    <sheet name="2. " sheetId="2" r:id="rId2"/>
    <sheet name="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4" l="1"/>
  <c r="I34" i="4"/>
  <c r="I35" i="4"/>
  <c r="I36" i="4"/>
  <c r="I37" i="4"/>
  <c r="J37" i="4" s="1"/>
  <c r="I38" i="4"/>
  <c r="I32" i="4"/>
  <c r="J32" i="4" s="1"/>
  <c r="H33" i="4"/>
  <c r="J33" i="4" s="1"/>
  <c r="H34" i="4"/>
  <c r="J34" i="4" s="1"/>
  <c r="H35" i="4"/>
  <c r="H36" i="4"/>
  <c r="H37" i="4"/>
  <c r="H38" i="4"/>
  <c r="H32" i="4"/>
  <c r="H7" i="4"/>
  <c r="H8" i="4"/>
  <c r="H9" i="4"/>
  <c r="H10" i="4"/>
  <c r="H11" i="4"/>
  <c r="H12" i="4"/>
  <c r="H6" i="4"/>
  <c r="E7" i="3"/>
  <c r="E8" i="3"/>
  <c r="E9" i="3"/>
  <c r="E10" i="3"/>
  <c r="E6" i="3"/>
  <c r="K12" i="2"/>
  <c r="K11" i="2"/>
  <c r="K10" i="2"/>
  <c r="K9" i="2"/>
  <c r="K8" i="2"/>
  <c r="D12" i="2"/>
  <c r="D9" i="2"/>
  <c r="D10" i="2"/>
  <c r="D11" i="2"/>
  <c r="D8" i="2"/>
  <c r="J36" i="4" l="1"/>
  <c r="J38" i="4"/>
  <c r="J35" i="4"/>
</calcChain>
</file>

<file path=xl/sharedStrings.xml><?xml version="1.0" encoding="utf-8"?>
<sst xmlns="http://schemas.openxmlformats.org/spreadsheetml/2006/main" count="169" uniqueCount="101">
  <si>
    <t>unit</t>
  </si>
  <si>
    <t>2025revbudget</t>
  </si>
  <si>
    <t>2025expensebudget</t>
  </si>
  <si>
    <t>Breakfast</t>
  </si>
  <si>
    <t>Hall</t>
  </si>
  <si>
    <t>Restaurant</t>
  </si>
  <si>
    <t>Rooftop</t>
  </si>
  <si>
    <t>Room Service</t>
  </si>
  <si>
    <t>RESULTS</t>
  </si>
  <si>
    <t>SELECT</t>
  </si>
  <si>
    <t>Unit,</t>
  </si>
  <si>
    <t>SUM(Case WHEN type = 'expense' Then amount else 0 END) AS [2025expensebudget]</t>
  </si>
  <si>
    <t>fact_budget</t>
  </si>
  <si>
    <t>Business Inquiry</t>
  </si>
  <si>
    <t xml:space="preserve"> SQL Query</t>
  </si>
  <si>
    <t>Unit</t>
  </si>
  <si>
    <t>2025revactuals</t>
  </si>
  <si>
    <t>Special Events</t>
  </si>
  <si>
    <t>revactuals.unit,</t>
  </si>
  <si>
    <t>revactuals.[2025revactuals],</t>
  </si>
  <si>
    <t>budget.[2025revbudget]</t>
  </si>
  <si>
    <t>FROM</t>
  </si>
  <si>
    <t>(Select</t>
  </si>
  <si>
    <t xml:space="preserve"> Unit,</t>
  </si>
  <si>
    <t xml:space="preserve"> Sum(amount) AS [2025revactuals]</t>
  </si>
  <si>
    <t xml:space="preserve"> FROM fact_revenue</t>
  </si>
  <si>
    <t xml:space="preserve"> Where month_year Like '%2025'</t>
  </si>
  <si>
    <t xml:space="preserve"> Group By Unit) AS revactuals</t>
  </si>
  <si>
    <t>Left Join</t>
  </si>
  <si>
    <t>(SELECT</t>
  </si>
  <si>
    <t>SUM(Case WHEN type = 'revenue' Then amount else 0 END) AS [2025revbudget]</t>
  </si>
  <si>
    <t xml:space="preserve">FROM fact_budget </t>
  </si>
  <si>
    <t>Where month_year Like '%2025'</t>
  </si>
  <si>
    <t>Group by Unit) AS budget</t>
  </si>
  <si>
    <t>-- join revenue budget and actuals for query</t>
  </si>
  <si>
    <t>ON revactuals.unit = budget.unit</t>
  </si>
  <si>
    <t>--define table containing revenue actuals</t>
  </si>
  <si>
    <t>-- define table containing budgeted revenue</t>
  </si>
  <si>
    <t xml:space="preserve">Null </t>
  </si>
  <si>
    <t>(-) Negative values indicate decline; unfavorable variance compared to budget</t>
  </si>
  <si>
    <t>(+) Positive  values indicate growth; favorable variance compared to budget</t>
  </si>
  <si>
    <t>↑</t>
  </si>
  <si>
    <t xml:space="preserve">Growth Rate </t>
  </si>
  <si>
    <t>Trend</t>
  </si>
  <si>
    <t>2025expenseactuals</t>
  </si>
  <si>
    <t>expactuals.unit,</t>
  </si>
  <si>
    <t>expactuals.[2025expenseactuals],</t>
  </si>
  <si>
    <t>budget.[2025expensebudget]</t>
  </si>
  <si>
    <t xml:space="preserve"> Sum(amount) AS [2025expenseactuals]</t>
  </si>
  <si>
    <t xml:space="preserve"> FROM fact_expenses</t>
  </si>
  <si>
    <t xml:space="preserve"> Where date Like '%2025'</t>
  </si>
  <si>
    <t xml:space="preserve"> Group By Unit) AS expactuals</t>
  </si>
  <si>
    <t>-- join expense budget and actuals for query</t>
  </si>
  <si>
    <t>ON expactuals.unit = budget.unit</t>
  </si>
  <si>
    <t>NULL</t>
  </si>
  <si>
    <t>(+) Positive  values indicate cost overrun; unfavorable variance compared to budget</t>
  </si>
  <si>
    <t>(-) Negative values indicate cost underrun; favorable variance compared to budget</t>
  </si>
  <si>
    <t>Cost Overrun</t>
  </si>
  <si>
    <t>2024plannedrev</t>
  </si>
  <si>
    <t>2025plannedrev</t>
  </si>
  <si>
    <t>2026plannedrev</t>
  </si>
  <si>
    <t xml:space="preserve">unit, </t>
  </si>
  <si>
    <t>SUM(CASE WHEN month_year Like '%2024' AND type = 'revenue' then amount Else 0 END) As [2024plannedrev],</t>
  </si>
  <si>
    <t>SUM(CASE WHEN month_year Like '%2025' AND type = 'revenue' then amount Else 0 END) As [2025plannedrev],</t>
  </si>
  <si>
    <t>SUM(CASE WHEN month_year Like '%2026' AND type = 'revenue' then amount Else 0 END) As [2026plannedrev]</t>
  </si>
  <si>
    <t>group by unit</t>
  </si>
  <si>
    <t xml:space="preserve">Calculated Column </t>
  </si>
  <si>
    <t>type</t>
  </si>
  <si>
    <t>2024 actuals</t>
  </si>
  <si>
    <t>2025 actuals</t>
  </si>
  <si>
    <t>2026 actuals</t>
  </si>
  <si>
    <t>202601 actuals</t>
  </si>
  <si>
    <t>202602 actuals</t>
  </si>
  <si>
    <t>202603 actuals</t>
  </si>
  <si>
    <t>Banquet Direct COGS - Beverage</t>
  </si>
  <si>
    <t>Banquet Direct COGS - Food</t>
  </si>
  <si>
    <t>Banquet Temporary Labor</t>
  </si>
  <si>
    <t>COGS Beverage Inventory</t>
  </si>
  <si>
    <t>COGS Dry Food</t>
  </si>
  <si>
    <t>COGS Fresh Food</t>
  </si>
  <si>
    <t>Outstanding Maintenance</t>
  </si>
  <si>
    <t>Q1 2026</t>
  </si>
  <si>
    <t>type,</t>
  </si>
  <si>
    <t>ROUND(SUM(CASE WHEN date Like '%2024'then amount Else 0 END), 0) As [2024 actuals],</t>
  </si>
  <si>
    <t>ROUND(SUM(CASE WHEN date Like '%2025'then amount Else 0 END), 0) As [2025 actuals],</t>
  </si>
  <si>
    <t>ROUND(SUM(CASE WHEN date Like '%2026'then amount Else 0 END), 0) As [2026 actuals],</t>
  </si>
  <si>
    <t>ROUND(SUM(CASE WHEN date Like '%/01/2026'then amount Else 0 END), 0) As [202601 actuals],</t>
  </si>
  <si>
    <t>ROUND(SUM(CASE WHEN date Like '%/02/2026'then amount Else 0 END), 0) As [202602 actuals],</t>
  </si>
  <si>
    <t>ROUND(SUM(CASE WHEN date Like '%/03/2026'then amount Else 0 END), 0) As [202603 actuals]</t>
  </si>
  <si>
    <t>fact_expenses</t>
  </si>
  <si>
    <t>Where unit is 'Special Events'</t>
  </si>
  <si>
    <t>Group BY type</t>
  </si>
  <si>
    <t>202501 actuals</t>
  </si>
  <si>
    <t>202502 actuals</t>
  </si>
  <si>
    <t>202503 actuals</t>
  </si>
  <si>
    <t>Q1 2025</t>
  </si>
  <si>
    <t>YoY %</t>
  </si>
  <si>
    <t xml:space="preserve">*NOT Complete </t>
  </si>
  <si>
    <t>In which business units are we seeing the highest projected growth? Which units may require resource re-allocation?</t>
  </si>
  <si>
    <t>How are units performaing against their planned 2025 budget? Which units have cost overruns and may require further review?</t>
  </si>
  <si>
    <t>How do current quarterly expenses (COGS/Labor) compare to the previous year's performance?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</si>
</sst>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6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4" fontId="0" fillId="0" borderId="0" xfId="2" applyFont="1"/>
    <xf numFmtId="44" fontId="4" fillId="2" borderId="0" xfId="2" applyFont="1" applyFill="1" applyAlignment="1">
      <alignment horizontal="center"/>
    </xf>
    <xf numFmtId="0" fontId="0" fillId="0" borderId="0" xfId="0" quotePrefix="1"/>
    <xf numFmtId="9" fontId="0" fillId="0" borderId="0" xfId="3" applyFont="1"/>
    <xf numFmtId="9" fontId="5" fillId="0" borderId="0" xfId="3" applyFont="1"/>
    <xf numFmtId="0" fontId="6" fillId="0" borderId="0" xfId="0" applyFont="1" applyAlignment="1">
      <alignment horizontal="center"/>
    </xf>
    <xf numFmtId="9" fontId="7" fillId="0" borderId="0" xfId="3" applyFont="1"/>
    <xf numFmtId="44" fontId="4" fillId="2" borderId="1" xfId="2" applyFont="1" applyFill="1" applyBorder="1" applyAlignment="1">
      <alignment horizontal="center"/>
    </xf>
    <xf numFmtId="9" fontId="6" fillId="0" borderId="0" xfId="3" applyFont="1" applyAlignment="1">
      <alignment horizontal="center"/>
    </xf>
    <xf numFmtId="0" fontId="3" fillId="3" borderId="0" xfId="0" applyFont="1" applyFill="1"/>
    <xf numFmtId="44" fontId="0" fillId="0" borderId="0" xfId="2" applyNumberFormat="1" applyFont="1"/>
    <xf numFmtId="44" fontId="0" fillId="0" borderId="0" xfId="0" applyNumberFormat="1"/>
    <xf numFmtId="43" fontId="0" fillId="0" borderId="0" xfId="1" applyFont="1"/>
    <xf numFmtId="0" fontId="0" fillId="0" borderId="0" xfId="0" applyFill="1"/>
    <xf numFmtId="9" fontId="1" fillId="0" borderId="0" xfId="3" applyFont="1"/>
    <xf numFmtId="9" fontId="1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59B0-3468-5742-BB55-B781A823EEE4}">
  <dimension ref="A1:F29"/>
  <sheetViews>
    <sheetView showGridLines="0" tabSelected="1" workbookViewId="0">
      <selection activeCell="C12" sqref="C12"/>
    </sheetView>
  </sheetViews>
  <sheetFormatPr baseColWidth="10" defaultRowHeight="15" x14ac:dyDescent="0.2"/>
  <cols>
    <col min="1" max="1" width="14.5" customWidth="1"/>
    <col min="2" max="2" width="17.33203125" bestFit="1" customWidth="1"/>
    <col min="3" max="3" width="17.5" bestFit="1" customWidth="1"/>
    <col min="4" max="4" width="13.6640625" bestFit="1" customWidth="1"/>
    <col min="5" max="5" width="16.33203125" customWidth="1"/>
  </cols>
  <sheetData>
    <row r="1" spans="1:6" x14ac:dyDescent="0.2">
      <c r="A1" s="2" t="s">
        <v>13</v>
      </c>
    </row>
    <row r="2" spans="1:6" x14ac:dyDescent="0.2">
      <c r="A2" s="16" t="s">
        <v>98</v>
      </c>
    </row>
    <row r="4" spans="1:6" s="2" customFormat="1" x14ac:dyDescent="0.2">
      <c r="A4" s="2" t="s">
        <v>8</v>
      </c>
      <c r="E4" s="12" t="s">
        <v>66</v>
      </c>
    </row>
    <row r="5" spans="1:6" x14ac:dyDescent="0.2">
      <c r="A5" s="1" t="s">
        <v>0</v>
      </c>
      <c r="B5" s="1" t="s">
        <v>58</v>
      </c>
      <c r="C5" s="1" t="s">
        <v>59</v>
      </c>
      <c r="D5" s="1" t="s">
        <v>60</v>
      </c>
      <c r="E5" s="1" t="s">
        <v>42</v>
      </c>
    </row>
    <row r="6" spans="1:6" x14ac:dyDescent="0.2">
      <c r="A6" t="s">
        <v>3</v>
      </c>
      <c r="B6" s="3">
        <v>2404950.29</v>
      </c>
      <c r="C6" s="3">
        <v>2662993.66</v>
      </c>
      <c r="D6" s="3">
        <v>2883244.91</v>
      </c>
      <c r="E6" s="11">
        <f>(D6-B6)/B6</f>
        <v>0.19887921259278923</v>
      </c>
      <c r="F6" s="5"/>
    </row>
    <row r="7" spans="1:6" x14ac:dyDescent="0.2">
      <c r="A7" t="s">
        <v>4</v>
      </c>
      <c r="B7" s="3">
        <v>614163.88</v>
      </c>
      <c r="C7" s="3">
        <v>656250.96</v>
      </c>
      <c r="D7" s="3">
        <v>708925.55</v>
      </c>
      <c r="E7" s="11">
        <f t="shared" ref="E7:E10" si="0">(D7-B7)/B7</f>
        <v>0.15429378556094839</v>
      </c>
      <c r="F7" s="5"/>
    </row>
    <row r="8" spans="1:6" x14ac:dyDescent="0.2">
      <c r="A8" t="s">
        <v>5</v>
      </c>
      <c r="B8" s="3">
        <v>3646730.04</v>
      </c>
      <c r="C8" s="3">
        <v>3967928.14</v>
      </c>
      <c r="D8" s="3">
        <v>4175120.69</v>
      </c>
      <c r="E8" s="11">
        <f t="shared" si="0"/>
        <v>0.14489436953221793</v>
      </c>
    </row>
    <row r="9" spans="1:6" x14ac:dyDescent="0.2">
      <c r="A9" t="s">
        <v>6</v>
      </c>
      <c r="B9" s="3">
        <v>2211988.14</v>
      </c>
      <c r="C9" s="3">
        <v>2313295.77</v>
      </c>
      <c r="D9" s="3">
        <v>2530295.61</v>
      </c>
      <c r="E9" s="11">
        <f t="shared" si="0"/>
        <v>0.14390107444246952</v>
      </c>
    </row>
    <row r="10" spans="1:6" x14ac:dyDescent="0.2">
      <c r="A10" t="s">
        <v>7</v>
      </c>
      <c r="B10" s="3">
        <v>253692.71</v>
      </c>
      <c r="C10" s="3">
        <v>284832.86</v>
      </c>
      <c r="D10" s="3">
        <v>310282.03999999998</v>
      </c>
      <c r="E10" s="11">
        <f t="shared" si="0"/>
        <v>0.2230624995097415</v>
      </c>
    </row>
    <row r="11" spans="1:6" x14ac:dyDescent="0.2">
      <c r="B11" s="3"/>
      <c r="C11" s="3"/>
      <c r="D11" s="7"/>
    </row>
    <row r="15" spans="1:6" x14ac:dyDescent="0.2">
      <c r="A15" s="10" t="s">
        <v>14</v>
      </c>
      <c r="B15" s="10"/>
      <c r="C15" s="10"/>
      <c r="D15" s="10"/>
      <c r="E15" s="10"/>
      <c r="F15" s="10"/>
    </row>
    <row r="16" spans="1:6" x14ac:dyDescent="0.2">
      <c r="A16" t="s">
        <v>9</v>
      </c>
    </row>
    <row r="17" spans="1:1" x14ac:dyDescent="0.2">
      <c r="A17" t="s">
        <v>61</v>
      </c>
    </row>
    <row r="18" spans="1:1" x14ac:dyDescent="0.2">
      <c r="A18" t="s">
        <v>62</v>
      </c>
    </row>
    <row r="19" spans="1:1" x14ac:dyDescent="0.2">
      <c r="A19" t="s">
        <v>63</v>
      </c>
    </row>
    <row r="20" spans="1:1" x14ac:dyDescent="0.2">
      <c r="A20" t="s">
        <v>64</v>
      </c>
    </row>
    <row r="21" spans="1:1" x14ac:dyDescent="0.2">
      <c r="A21" s="5" t="s">
        <v>21</v>
      </c>
    </row>
    <row r="22" spans="1:1" x14ac:dyDescent="0.2">
      <c r="A22" t="s">
        <v>12</v>
      </c>
    </row>
    <row r="23" spans="1:1" x14ac:dyDescent="0.2">
      <c r="A23" t="s">
        <v>65</v>
      </c>
    </row>
    <row r="29" spans="1:1" x14ac:dyDescent="0.2">
      <c r="A29" s="5"/>
    </row>
  </sheetData>
  <mergeCells count="1"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showGridLines="0" zoomScale="80" zoomScaleNormal="80" workbookViewId="0">
      <selection activeCell="C13" sqref="C13"/>
    </sheetView>
  </sheetViews>
  <sheetFormatPr baseColWidth="10" defaultColWidth="8.83203125" defaultRowHeight="15" x14ac:dyDescent="0.2"/>
  <cols>
    <col min="1" max="2" width="18.5" customWidth="1"/>
    <col min="3" max="3" width="23.83203125" customWidth="1"/>
    <col min="4" max="5" width="16.6640625" customWidth="1"/>
    <col min="8" max="10" width="24.6640625" customWidth="1"/>
    <col min="11" max="11" width="16" bestFit="1" customWidth="1"/>
    <col min="12" max="12" width="16.5" customWidth="1"/>
  </cols>
  <sheetData>
    <row r="1" spans="1:17" x14ac:dyDescent="0.2">
      <c r="A1" s="2" t="s">
        <v>13</v>
      </c>
    </row>
    <row r="2" spans="1:17" x14ac:dyDescent="0.2">
      <c r="A2" s="16" t="s">
        <v>99</v>
      </c>
    </row>
    <row r="4" spans="1:17" x14ac:dyDescent="0.2">
      <c r="A4" s="2" t="s">
        <v>8</v>
      </c>
      <c r="H4" s="2" t="s">
        <v>8</v>
      </c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5" t="s">
        <v>40</v>
      </c>
      <c r="H5" s="5" t="s">
        <v>55</v>
      </c>
      <c r="I5" s="2"/>
      <c r="J5" s="2"/>
      <c r="L5" s="2"/>
      <c r="M5" s="2"/>
      <c r="N5" s="2"/>
      <c r="O5" s="2"/>
      <c r="P5" s="2"/>
      <c r="Q5" s="2"/>
    </row>
    <row r="6" spans="1:17" x14ac:dyDescent="0.2">
      <c r="A6" s="5" t="s">
        <v>39</v>
      </c>
      <c r="D6" s="12" t="s">
        <v>66</v>
      </c>
      <c r="E6" s="12" t="s">
        <v>66</v>
      </c>
      <c r="H6" s="5" t="s">
        <v>56</v>
      </c>
      <c r="I6" s="2"/>
      <c r="J6" s="2"/>
      <c r="K6" s="12" t="s">
        <v>66</v>
      </c>
      <c r="L6" s="12" t="s">
        <v>66</v>
      </c>
      <c r="M6" s="2"/>
      <c r="N6" s="2"/>
      <c r="O6" s="2"/>
      <c r="P6" s="2"/>
      <c r="Q6" s="2"/>
    </row>
    <row r="7" spans="1:17" x14ac:dyDescent="0.2">
      <c r="A7" s="1" t="s">
        <v>15</v>
      </c>
      <c r="B7" s="1" t="s">
        <v>16</v>
      </c>
      <c r="C7" s="1" t="s">
        <v>1</v>
      </c>
      <c r="D7" s="1" t="s">
        <v>42</v>
      </c>
      <c r="E7" s="1" t="s">
        <v>43</v>
      </c>
      <c r="H7" s="1" t="s">
        <v>15</v>
      </c>
      <c r="I7" s="1" t="s">
        <v>44</v>
      </c>
      <c r="J7" s="1" t="s">
        <v>2</v>
      </c>
      <c r="K7" s="1" t="s">
        <v>57</v>
      </c>
      <c r="L7" s="1" t="s">
        <v>43</v>
      </c>
    </row>
    <row r="8" spans="1:17" x14ac:dyDescent="0.2">
      <c r="A8" t="s">
        <v>3</v>
      </c>
      <c r="B8" s="3">
        <v>2729754.56</v>
      </c>
      <c r="C8" s="3">
        <v>2662993.66</v>
      </c>
      <c r="D8" s="7">
        <f>(B8-C8)/C8</f>
        <v>2.5069868172348523E-2</v>
      </c>
      <c r="E8" s="8" t="s">
        <v>41</v>
      </c>
      <c r="H8" t="s">
        <v>3</v>
      </c>
      <c r="I8" s="3">
        <v>-1673215.02</v>
      </c>
      <c r="J8" s="3">
        <v>-1537031.93</v>
      </c>
      <c r="K8" s="17">
        <f>(I8-J8)/J8</f>
        <v>8.8601340897322856E-2</v>
      </c>
      <c r="L8" s="8" t="s">
        <v>41</v>
      </c>
    </row>
    <row r="9" spans="1:17" x14ac:dyDescent="0.2">
      <c r="A9" t="s">
        <v>4</v>
      </c>
      <c r="B9" s="3">
        <v>679549.48</v>
      </c>
      <c r="C9" s="3">
        <v>656250.96</v>
      </c>
      <c r="D9" s="7">
        <f t="shared" ref="D9:D12" si="0">(B9-C9)/C9</f>
        <v>3.5502454731647204E-2</v>
      </c>
      <c r="E9" s="8" t="s">
        <v>41</v>
      </c>
      <c r="H9" t="s">
        <v>4</v>
      </c>
      <c r="I9" s="3">
        <v>-831806.56</v>
      </c>
      <c r="J9" s="3">
        <v>-775719.74</v>
      </c>
      <c r="K9" s="17">
        <f t="shared" ref="K9:K12" si="1">(I9-J9)/J9</f>
        <v>7.230294281282576E-2</v>
      </c>
      <c r="L9" s="8" t="s">
        <v>41</v>
      </c>
    </row>
    <row r="10" spans="1:17" x14ac:dyDescent="0.2">
      <c r="A10" t="s">
        <v>5</v>
      </c>
      <c r="B10" s="3">
        <v>3999276.68</v>
      </c>
      <c r="C10" s="3">
        <v>3967928.14</v>
      </c>
      <c r="D10" s="7">
        <f t="shared" si="0"/>
        <v>7.9004807783641055E-3</v>
      </c>
      <c r="E10" s="8" t="s">
        <v>41</v>
      </c>
      <c r="H10" t="s">
        <v>5</v>
      </c>
      <c r="I10" s="3">
        <v>-2371163.5499999998</v>
      </c>
      <c r="J10" s="3">
        <v>-2365321.7599999998</v>
      </c>
      <c r="K10" s="18">
        <f t="shared" si="1"/>
        <v>2.4697654664962107E-3</v>
      </c>
      <c r="L10" s="8" t="s">
        <v>41</v>
      </c>
    </row>
    <row r="11" spans="1:17" x14ac:dyDescent="0.2">
      <c r="A11" t="s">
        <v>6</v>
      </c>
      <c r="B11" s="3">
        <v>2436612.1</v>
      </c>
      <c r="C11" s="3">
        <v>2313295.77</v>
      </c>
      <c r="D11" s="7">
        <f t="shared" si="0"/>
        <v>5.3307636489561418E-2</v>
      </c>
      <c r="E11" s="8" t="s">
        <v>41</v>
      </c>
      <c r="H11" t="s">
        <v>6</v>
      </c>
      <c r="I11" s="3">
        <v>-1612890.03</v>
      </c>
      <c r="J11" s="3">
        <v>-1370581.14</v>
      </c>
      <c r="K11" s="9">
        <f t="shared" si="1"/>
        <v>0.17679280921668028</v>
      </c>
      <c r="L11" s="8" t="s">
        <v>41</v>
      </c>
    </row>
    <row r="12" spans="1:17" x14ac:dyDescent="0.2">
      <c r="A12" t="s">
        <v>7</v>
      </c>
      <c r="B12" s="3">
        <v>292035.21999999997</v>
      </c>
      <c r="C12" s="3">
        <v>284832.86</v>
      </c>
      <c r="D12" s="7">
        <f t="shared" si="0"/>
        <v>2.5286267883558051E-2</v>
      </c>
      <c r="E12" s="8" t="s">
        <v>41</v>
      </c>
      <c r="H12" t="s">
        <v>7</v>
      </c>
      <c r="I12" s="3">
        <v>-379803.03</v>
      </c>
      <c r="J12" s="3">
        <v>-318120.81</v>
      </c>
      <c r="K12" s="9">
        <f t="shared" si="1"/>
        <v>0.19389558325341882</v>
      </c>
      <c r="L12" s="8" t="s">
        <v>41</v>
      </c>
    </row>
    <row r="13" spans="1:17" x14ac:dyDescent="0.2">
      <c r="A13" t="s">
        <v>17</v>
      </c>
      <c r="B13" s="3">
        <v>954528.39</v>
      </c>
      <c r="C13" s="3" t="s">
        <v>38</v>
      </c>
      <c r="H13" t="s">
        <v>17</v>
      </c>
      <c r="I13" s="3">
        <v>-835817.49</v>
      </c>
      <c r="J13" s="3" t="s">
        <v>54</v>
      </c>
      <c r="K13" s="7"/>
    </row>
    <row r="14" spans="1:17" x14ac:dyDescent="0.2">
      <c r="B14" s="3"/>
      <c r="C14" s="3"/>
    </row>
    <row r="16" spans="1:17" x14ac:dyDescent="0.2">
      <c r="A16" s="4" t="s">
        <v>14</v>
      </c>
      <c r="B16" s="4"/>
      <c r="C16" s="4"/>
    </row>
    <row r="17" spans="1:10" x14ac:dyDescent="0.2">
      <c r="A17" t="s">
        <v>9</v>
      </c>
      <c r="H17" s="4" t="s">
        <v>14</v>
      </c>
      <c r="I17" s="4"/>
      <c r="J17" s="4"/>
    </row>
    <row r="18" spans="1:10" x14ac:dyDescent="0.2">
      <c r="A18" t="s">
        <v>18</v>
      </c>
      <c r="H18" t="s">
        <v>9</v>
      </c>
    </row>
    <row r="19" spans="1:10" x14ac:dyDescent="0.2">
      <c r="A19" t="s">
        <v>19</v>
      </c>
      <c r="H19" t="s">
        <v>45</v>
      </c>
    </row>
    <row r="20" spans="1:10" x14ac:dyDescent="0.2">
      <c r="A20" t="s">
        <v>20</v>
      </c>
      <c r="H20" t="s">
        <v>46</v>
      </c>
    </row>
    <row r="21" spans="1:10" x14ac:dyDescent="0.2">
      <c r="A21" t="s">
        <v>21</v>
      </c>
      <c r="H21" t="s">
        <v>47</v>
      </c>
    </row>
    <row r="22" spans="1:10" x14ac:dyDescent="0.2">
      <c r="A22" s="5" t="s">
        <v>36</v>
      </c>
      <c r="H22" t="s">
        <v>21</v>
      </c>
    </row>
    <row r="23" spans="1:10" x14ac:dyDescent="0.2">
      <c r="A23" t="s">
        <v>22</v>
      </c>
      <c r="H23" s="5" t="s">
        <v>36</v>
      </c>
    </row>
    <row r="24" spans="1:10" x14ac:dyDescent="0.2">
      <c r="A24" t="s">
        <v>23</v>
      </c>
      <c r="H24" t="s">
        <v>22</v>
      </c>
    </row>
    <row r="25" spans="1:10" x14ac:dyDescent="0.2">
      <c r="A25" t="s">
        <v>24</v>
      </c>
      <c r="H25" t="s">
        <v>23</v>
      </c>
    </row>
    <row r="26" spans="1:10" x14ac:dyDescent="0.2">
      <c r="A26" t="s">
        <v>25</v>
      </c>
      <c r="H26" t="s">
        <v>48</v>
      </c>
    </row>
    <row r="27" spans="1:10" x14ac:dyDescent="0.2">
      <c r="A27" t="s">
        <v>26</v>
      </c>
      <c r="H27" t="s">
        <v>49</v>
      </c>
    </row>
    <row r="28" spans="1:10" x14ac:dyDescent="0.2">
      <c r="A28" t="s">
        <v>27</v>
      </c>
      <c r="H28" t="s">
        <v>50</v>
      </c>
    </row>
    <row r="29" spans="1:10" x14ac:dyDescent="0.2">
      <c r="A29" t="s">
        <v>28</v>
      </c>
      <c r="H29" t="s">
        <v>51</v>
      </c>
    </row>
    <row r="30" spans="1:10" x14ac:dyDescent="0.2">
      <c r="A30" s="5" t="s">
        <v>37</v>
      </c>
      <c r="H30" t="s">
        <v>28</v>
      </c>
    </row>
    <row r="31" spans="1:10" x14ac:dyDescent="0.2">
      <c r="A31" t="s">
        <v>29</v>
      </c>
      <c r="H31" s="5" t="s">
        <v>37</v>
      </c>
    </row>
    <row r="32" spans="1:10" x14ac:dyDescent="0.2">
      <c r="A32" t="s">
        <v>10</v>
      </c>
      <c r="H32" t="s">
        <v>29</v>
      </c>
    </row>
    <row r="33" spans="1:8" x14ac:dyDescent="0.2">
      <c r="A33" t="s">
        <v>30</v>
      </c>
      <c r="H33" t="s">
        <v>10</v>
      </c>
    </row>
    <row r="34" spans="1:8" x14ac:dyDescent="0.2">
      <c r="A34" t="s">
        <v>31</v>
      </c>
      <c r="H34" t="s">
        <v>11</v>
      </c>
    </row>
    <row r="35" spans="1:8" x14ac:dyDescent="0.2">
      <c r="A35" t="s">
        <v>32</v>
      </c>
      <c r="H35" t="s">
        <v>31</v>
      </c>
    </row>
    <row r="36" spans="1:8" x14ac:dyDescent="0.2">
      <c r="A36" t="s">
        <v>33</v>
      </c>
      <c r="H36" t="s">
        <v>32</v>
      </c>
    </row>
    <row r="37" spans="1:8" x14ac:dyDescent="0.2">
      <c r="A37" t="s">
        <v>34</v>
      </c>
      <c r="H37" t="s">
        <v>33</v>
      </c>
    </row>
    <row r="38" spans="1:8" x14ac:dyDescent="0.2">
      <c r="A38" t="s">
        <v>35</v>
      </c>
      <c r="H38" t="s">
        <v>52</v>
      </c>
    </row>
    <row r="39" spans="1:8" x14ac:dyDescent="0.2">
      <c r="H39" t="s">
        <v>53</v>
      </c>
    </row>
  </sheetData>
  <mergeCells count="2">
    <mergeCell ref="A16:C16"/>
    <mergeCell ref="H17:J1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F6E5-96C2-E34A-8B3F-28D563039EC0}">
  <dimension ref="A1:J38"/>
  <sheetViews>
    <sheetView showGridLines="0" workbookViewId="0">
      <selection activeCell="G41" sqref="G41"/>
    </sheetView>
  </sheetViews>
  <sheetFormatPr baseColWidth="10" defaultRowHeight="15" x14ac:dyDescent="0.2"/>
  <cols>
    <col min="1" max="1" width="25.1640625" bestFit="1" customWidth="1"/>
    <col min="2" max="7" width="18" customWidth="1"/>
    <col min="8" max="8" width="16" bestFit="1" customWidth="1"/>
    <col min="9" max="9" width="15.1640625" bestFit="1" customWidth="1"/>
    <col min="10" max="10" width="16" customWidth="1"/>
  </cols>
  <sheetData>
    <row r="1" spans="1:8" x14ac:dyDescent="0.2">
      <c r="A1" s="2" t="s">
        <v>13</v>
      </c>
    </row>
    <row r="2" spans="1:8" x14ac:dyDescent="0.2">
      <c r="A2" s="16" t="s">
        <v>100</v>
      </c>
    </row>
    <row r="4" spans="1:8" x14ac:dyDescent="0.2">
      <c r="A4" s="2" t="s">
        <v>8</v>
      </c>
      <c r="G4" t="s">
        <v>97</v>
      </c>
      <c r="H4" s="12" t="s">
        <v>66</v>
      </c>
    </row>
    <row r="5" spans="1:8" x14ac:dyDescent="0.2">
      <c r="A5" s="1" t="s">
        <v>67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81</v>
      </c>
    </row>
    <row r="6" spans="1:8" x14ac:dyDescent="0.2">
      <c r="A6" t="s">
        <v>74</v>
      </c>
      <c r="B6" s="13">
        <v>-57624</v>
      </c>
      <c r="C6" s="13">
        <v>-112117</v>
      </c>
      <c r="D6" s="13">
        <v>-42906</v>
      </c>
      <c r="E6" s="13">
        <v>-15654</v>
      </c>
      <c r="F6" s="13">
        <v>-20358</v>
      </c>
      <c r="G6" s="13">
        <v>-6895</v>
      </c>
      <c r="H6" s="14">
        <f>SUM(E6:G6)</f>
        <v>-42907</v>
      </c>
    </row>
    <row r="7" spans="1:8" x14ac:dyDescent="0.2">
      <c r="A7" t="s">
        <v>75</v>
      </c>
      <c r="B7" s="13">
        <v>-134457</v>
      </c>
      <c r="C7" s="13">
        <v>-261606</v>
      </c>
      <c r="D7" s="13">
        <v>-100115</v>
      </c>
      <c r="E7" s="13">
        <v>-36526</v>
      </c>
      <c r="F7" s="13">
        <v>-47501</v>
      </c>
      <c r="G7" s="13">
        <v>-16088</v>
      </c>
      <c r="H7" s="14">
        <f t="shared" ref="H7:H12" si="0">SUM(E7:G7)</f>
        <v>-100115</v>
      </c>
    </row>
    <row r="8" spans="1:8" x14ac:dyDescent="0.2">
      <c r="A8" t="s">
        <v>76</v>
      </c>
      <c r="B8" s="13">
        <v>-96359</v>
      </c>
      <c r="C8" s="13">
        <v>-189610</v>
      </c>
      <c r="D8" s="13">
        <v>-74384</v>
      </c>
      <c r="E8" s="13">
        <v>-26925</v>
      </c>
      <c r="F8" s="13">
        <v>-35968</v>
      </c>
      <c r="G8" s="13">
        <v>-11490</v>
      </c>
      <c r="H8" s="14">
        <f t="shared" si="0"/>
        <v>-74383</v>
      </c>
    </row>
    <row r="9" spans="1:8" x14ac:dyDescent="0.2">
      <c r="A9" t="s">
        <v>77</v>
      </c>
      <c r="B9" s="13">
        <v>-27601</v>
      </c>
      <c r="C9" s="13">
        <v>-65491</v>
      </c>
      <c r="D9" s="13">
        <v>-16742</v>
      </c>
      <c r="E9" s="13">
        <v>-3494</v>
      </c>
      <c r="F9" s="13">
        <v>-9658</v>
      </c>
      <c r="G9" s="13">
        <v>-3590</v>
      </c>
      <c r="H9" s="14">
        <f t="shared" si="0"/>
        <v>-16742</v>
      </c>
    </row>
    <row r="10" spans="1:8" x14ac:dyDescent="0.2">
      <c r="A10" t="s">
        <v>78</v>
      </c>
      <c r="B10" s="13">
        <v>-21040</v>
      </c>
      <c r="C10" s="13">
        <v>-40997</v>
      </c>
      <c r="D10" s="13">
        <v>-16448</v>
      </c>
      <c r="E10" s="13">
        <v>-5624</v>
      </c>
      <c r="F10" s="13">
        <v>-8176</v>
      </c>
      <c r="G10" s="13">
        <v>-2648</v>
      </c>
      <c r="H10" s="14">
        <f t="shared" si="0"/>
        <v>-16448</v>
      </c>
    </row>
    <row r="11" spans="1:8" x14ac:dyDescent="0.2">
      <c r="A11" t="s">
        <v>79</v>
      </c>
      <c r="B11" s="13">
        <v>-79822</v>
      </c>
      <c r="C11" s="13">
        <v>-159003</v>
      </c>
      <c r="D11" s="13">
        <v>-58050</v>
      </c>
      <c r="E11" s="13">
        <v>-25858</v>
      </c>
      <c r="F11" s="13">
        <v>-23406</v>
      </c>
      <c r="G11" s="13">
        <v>-8786</v>
      </c>
      <c r="H11" s="14">
        <f t="shared" si="0"/>
        <v>-58050</v>
      </c>
    </row>
    <row r="12" spans="1:8" x14ac:dyDescent="0.2">
      <c r="A12" t="s">
        <v>80</v>
      </c>
      <c r="B12" s="13">
        <v>-21077</v>
      </c>
      <c r="C12" s="13">
        <v>-6994</v>
      </c>
      <c r="D12" s="13">
        <v>0</v>
      </c>
      <c r="E12" s="13">
        <v>0</v>
      </c>
      <c r="F12" s="13">
        <v>0</v>
      </c>
      <c r="G12" s="13">
        <v>0</v>
      </c>
      <c r="H12" s="14">
        <f t="shared" si="0"/>
        <v>0</v>
      </c>
    </row>
    <row r="14" spans="1:8" x14ac:dyDescent="0.2">
      <c r="A14" s="4" t="s">
        <v>14</v>
      </c>
      <c r="B14" s="4"/>
      <c r="C14" s="4"/>
    </row>
    <row r="15" spans="1:8" x14ac:dyDescent="0.2">
      <c r="A15" t="s">
        <v>9</v>
      </c>
    </row>
    <row r="16" spans="1:8" x14ac:dyDescent="0.2">
      <c r="A16" t="s">
        <v>82</v>
      </c>
    </row>
    <row r="17" spans="1:10" x14ac:dyDescent="0.2">
      <c r="A17" t="s">
        <v>83</v>
      </c>
    </row>
    <row r="18" spans="1:10" x14ac:dyDescent="0.2">
      <c r="A18" t="s">
        <v>84</v>
      </c>
    </row>
    <row r="19" spans="1:10" x14ac:dyDescent="0.2">
      <c r="A19" t="s">
        <v>85</v>
      </c>
    </row>
    <row r="20" spans="1:10" x14ac:dyDescent="0.2">
      <c r="A20" t="s">
        <v>86</v>
      </c>
    </row>
    <row r="21" spans="1:10" x14ac:dyDescent="0.2">
      <c r="A21" t="s">
        <v>87</v>
      </c>
    </row>
    <row r="22" spans="1:10" x14ac:dyDescent="0.2">
      <c r="A22" t="s">
        <v>88</v>
      </c>
    </row>
    <row r="23" spans="1:10" x14ac:dyDescent="0.2">
      <c r="A23" t="s">
        <v>21</v>
      </c>
    </row>
    <row r="24" spans="1:10" x14ac:dyDescent="0.2">
      <c r="A24" t="s">
        <v>89</v>
      </c>
    </row>
    <row r="25" spans="1:10" x14ac:dyDescent="0.2">
      <c r="A25" t="s">
        <v>90</v>
      </c>
    </row>
    <row r="26" spans="1:10" x14ac:dyDescent="0.2">
      <c r="A26" t="s">
        <v>91</v>
      </c>
    </row>
    <row r="28" spans="1:10" x14ac:dyDescent="0.2">
      <c r="A28" s="2"/>
    </row>
    <row r="30" spans="1:10" x14ac:dyDescent="0.2">
      <c r="A30" s="2" t="s">
        <v>8</v>
      </c>
      <c r="H30" s="12" t="s">
        <v>66</v>
      </c>
      <c r="I30" s="12" t="s">
        <v>66</v>
      </c>
      <c r="J30" s="12" t="s">
        <v>66</v>
      </c>
    </row>
    <row r="31" spans="1:10" x14ac:dyDescent="0.2">
      <c r="A31" s="1" t="s">
        <v>67</v>
      </c>
      <c r="B31" s="1" t="s">
        <v>92</v>
      </c>
      <c r="C31" s="1" t="s">
        <v>93</v>
      </c>
      <c r="D31" s="1" t="s">
        <v>94</v>
      </c>
      <c r="E31" s="1" t="s">
        <v>71</v>
      </c>
      <c r="F31" s="1" t="s">
        <v>72</v>
      </c>
      <c r="G31" s="1" t="s">
        <v>73</v>
      </c>
      <c r="H31" s="1" t="s">
        <v>95</v>
      </c>
      <c r="I31" s="1" t="s">
        <v>81</v>
      </c>
      <c r="J31" s="1" t="s">
        <v>96</v>
      </c>
    </row>
    <row r="32" spans="1:10" x14ac:dyDescent="0.2">
      <c r="A32" t="s">
        <v>74</v>
      </c>
      <c r="B32" s="15">
        <v>-11603</v>
      </c>
      <c r="C32" s="15">
        <v>-2540</v>
      </c>
      <c r="D32" s="15">
        <v>-10577</v>
      </c>
      <c r="E32" s="15">
        <v>-15654</v>
      </c>
      <c r="F32" s="15">
        <v>-20358</v>
      </c>
      <c r="G32" s="15">
        <v>-6895</v>
      </c>
      <c r="H32" s="15">
        <f>SUM(B32:D32)</f>
        <v>-24720</v>
      </c>
      <c r="I32" s="15">
        <f>SUM(E32:G32)</f>
        <v>-42907</v>
      </c>
      <c r="J32" s="6">
        <f>(I32-H32)/H32</f>
        <v>0.73572006472491913</v>
      </c>
    </row>
    <row r="33" spans="1:10" x14ac:dyDescent="0.2">
      <c r="A33" t="s">
        <v>75</v>
      </c>
      <c r="B33" s="15">
        <v>-27073</v>
      </c>
      <c r="C33" s="15">
        <v>-5928</v>
      </c>
      <c r="D33" s="15">
        <v>-24680</v>
      </c>
      <c r="E33" s="15">
        <v>-36526</v>
      </c>
      <c r="F33" s="15">
        <v>-47501</v>
      </c>
      <c r="G33" s="15">
        <v>-16088</v>
      </c>
      <c r="H33" s="15">
        <f>SUM(B33:D33)</f>
        <v>-57681</v>
      </c>
      <c r="I33" s="15">
        <f>SUM(E33:G33)</f>
        <v>-100115</v>
      </c>
      <c r="J33" s="6">
        <f t="shared" ref="J33:J38" si="1">(I33-H33)/H33</f>
        <v>0.73566685737071136</v>
      </c>
    </row>
    <row r="34" spans="1:10" x14ac:dyDescent="0.2">
      <c r="A34" t="s">
        <v>76</v>
      </c>
      <c r="B34" s="15">
        <v>-18786</v>
      </c>
      <c r="C34" s="15">
        <v>-4097</v>
      </c>
      <c r="D34" s="15">
        <v>-18469</v>
      </c>
      <c r="E34" s="15">
        <v>-26925</v>
      </c>
      <c r="F34" s="15">
        <v>-35968</v>
      </c>
      <c r="G34" s="15">
        <v>-11490</v>
      </c>
      <c r="H34" s="15">
        <f>SUM(B34:D34)</f>
        <v>-41352</v>
      </c>
      <c r="I34" s="15">
        <f>SUM(E34:G34)</f>
        <v>-74383</v>
      </c>
      <c r="J34" s="6">
        <f t="shared" si="1"/>
        <v>0.79877635906364863</v>
      </c>
    </row>
    <row r="35" spans="1:10" x14ac:dyDescent="0.2">
      <c r="A35" t="s">
        <v>77</v>
      </c>
      <c r="B35" s="15">
        <v>-6348</v>
      </c>
      <c r="C35" s="15">
        <v>-2334</v>
      </c>
      <c r="D35" s="15">
        <v>-7523</v>
      </c>
      <c r="E35" s="15">
        <v>-3494</v>
      </c>
      <c r="F35" s="15">
        <v>-9658</v>
      </c>
      <c r="G35" s="15">
        <v>-3590</v>
      </c>
      <c r="H35" s="15">
        <f>SUM(B35:D35)</f>
        <v>-16205</v>
      </c>
      <c r="I35" s="15">
        <f>SUM(E35:G35)</f>
        <v>-16742</v>
      </c>
      <c r="J35" s="6">
        <f t="shared" si="1"/>
        <v>3.3137920394939832E-2</v>
      </c>
    </row>
    <row r="36" spans="1:10" x14ac:dyDescent="0.2">
      <c r="A36" t="s">
        <v>78</v>
      </c>
      <c r="B36" s="15">
        <v>-4288</v>
      </c>
      <c r="C36" s="15">
        <v>-801</v>
      </c>
      <c r="D36" s="15">
        <v>-4088</v>
      </c>
      <c r="E36" s="15">
        <v>-5624</v>
      </c>
      <c r="F36" s="15">
        <v>-8176</v>
      </c>
      <c r="G36" s="15">
        <v>-2648</v>
      </c>
      <c r="H36" s="15">
        <f>SUM(B36:D36)</f>
        <v>-9177</v>
      </c>
      <c r="I36" s="15">
        <f>SUM(E36:G36)</f>
        <v>-16448</v>
      </c>
      <c r="J36" s="6">
        <f t="shared" si="1"/>
        <v>0.79230685409175117</v>
      </c>
    </row>
    <row r="37" spans="1:10" x14ac:dyDescent="0.2">
      <c r="A37" t="s">
        <v>79</v>
      </c>
      <c r="B37" s="15">
        <v>-16330</v>
      </c>
      <c r="C37" s="15">
        <v>-3498</v>
      </c>
      <c r="D37" s="15">
        <v>-14906</v>
      </c>
      <c r="E37" s="15">
        <v>-25858</v>
      </c>
      <c r="F37" s="15">
        <v>-23406</v>
      </c>
      <c r="G37" s="15">
        <v>-8786</v>
      </c>
      <c r="H37" s="15">
        <f>SUM(B37:D37)</f>
        <v>-34734</v>
      </c>
      <c r="I37" s="15">
        <f>SUM(E37:G37)</f>
        <v>-58050</v>
      </c>
      <c r="J37" s="6">
        <f t="shared" si="1"/>
        <v>0.67127310416306785</v>
      </c>
    </row>
    <row r="38" spans="1:10" x14ac:dyDescent="0.2">
      <c r="A38" t="s">
        <v>80</v>
      </c>
      <c r="B38" s="15">
        <v>-6994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f>SUM(B38:D38)</f>
        <v>-6994</v>
      </c>
      <c r="I38" s="15">
        <f>SUM(E38:G38)</f>
        <v>0</v>
      </c>
      <c r="J38" s="6">
        <f t="shared" si="1"/>
        <v>-1</v>
      </c>
    </row>
  </sheetData>
  <mergeCells count="1"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2. </vt:lpstr>
      <vt:lpstr>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2026-04-24T04:15:02Z</dcterms:created>
  <dcterms:modified xsi:type="dcterms:W3CDTF">2026-04-25T05:11:41Z</dcterms:modified>
  <cp:category/>
</cp:coreProperties>
</file>